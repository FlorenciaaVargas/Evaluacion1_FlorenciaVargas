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ncia Vargas\Documents\Universidad\8° Semestre\Herramientas Computacionales II\Evaluación 1\"/>
    </mc:Choice>
  </mc:AlternateContent>
  <xr:revisionPtr revIDLastSave="0" documentId="13_ncr:1_{0FDF4E5C-10DA-475B-9217-BE647DD3218B}" xr6:coauthVersionLast="47" xr6:coauthVersionMax="47" xr10:uidLastSave="{00000000-0000-0000-0000-000000000000}"/>
  <bookViews>
    <workbookView xWindow="-108" yWindow="-108" windowWidth="23256" windowHeight="12456" activeTab="1" xr2:uid="{1E8183F2-74C8-4619-9AA8-BF5DC528DD89}"/>
  </bookViews>
  <sheets>
    <sheet name="Parametros_viga" sheetId="2" r:id="rId1"/>
    <sheet name="analisis_vig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3" l="1"/>
  <c r="D15" i="3" s="1"/>
  <c r="E15" i="3" s="1"/>
  <c r="I20" i="3"/>
  <c r="I19" i="3"/>
  <c r="I18" i="3"/>
  <c r="I17" i="3"/>
  <c r="I16" i="3"/>
  <c r="I13" i="3"/>
  <c r="G20" i="3"/>
  <c r="G19" i="3"/>
  <c r="G18" i="3"/>
  <c r="G17" i="3"/>
  <c r="G16" i="3"/>
  <c r="G13" i="3"/>
  <c r="E13" i="3"/>
  <c r="E16" i="3"/>
  <c r="E17" i="3"/>
  <c r="E18" i="3"/>
  <c r="E19" i="3"/>
  <c r="E20" i="3"/>
  <c r="E12" i="3"/>
  <c r="D16" i="3"/>
  <c r="D17" i="3"/>
  <c r="D18" i="3"/>
  <c r="D19" i="3"/>
  <c r="D20" i="3"/>
  <c r="D13" i="3"/>
  <c r="D12" i="3"/>
  <c r="C13" i="3"/>
  <c r="C14" i="3"/>
  <c r="D14" i="3" s="1"/>
  <c r="E14" i="3" s="1"/>
  <c r="I14" i="3" s="1"/>
  <c r="C16" i="3"/>
  <c r="C17" i="3"/>
  <c r="C18" i="3"/>
  <c r="C19" i="3"/>
  <c r="C20" i="3"/>
  <c r="C12" i="3"/>
  <c r="F8" i="3"/>
  <c r="J5" i="3"/>
  <c r="G5" i="3"/>
  <c r="G15" i="3" l="1"/>
  <c r="I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Florencia Vargas</author>
  </authors>
  <commentList>
    <comment ref="J5" authorId="0" shapeId="0" xr:uid="{2195A891-DC7A-4876-8CC2-9479B912F00A}">
      <text>
        <r>
          <rPr>
            <b/>
            <sz val="9"/>
            <color indexed="81"/>
            <rFont val="Tahoma"/>
            <family val="2"/>
          </rPr>
          <t>Florencia Vargas:</t>
        </r>
        <r>
          <rPr>
            <sz val="9"/>
            <color indexed="81"/>
            <rFont val="Tahoma"/>
            <family val="2"/>
          </rPr>
          <t xml:space="preserve">
m^4*1000^4 = mm^4</t>
        </r>
      </text>
    </comment>
    <comment ref="F8" authorId="0" shapeId="0" xr:uid="{A4173D7F-BF22-416D-AB28-45338DA3C037}">
      <text>
        <r>
          <rPr>
            <b/>
            <sz val="9"/>
            <color indexed="81"/>
            <rFont val="Tahoma"/>
            <family val="2"/>
          </rPr>
          <t>Florencia Vargas:</t>
        </r>
        <r>
          <rPr>
            <sz val="9"/>
            <color indexed="81"/>
            <rFont val="Tahoma"/>
            <family val="2"/>
          </rPr>
          <t xml:space="preserve">
Gpa*10^9 = Pa</t>
        </r>
      </text>
    </comment>
  </commentList>
</comments>
</file>

<file path=xl/sharedStrings.xml><?xml version="1.0" encoding="utf-8"?>
<sst xmlns="http://schemas.openxmlformats.org/spreadsheetml/2006/main" count="48" uniqueCount="35">
  <si>
    <r>
      <t>Carga (</t>
    </r>
    <r>
      <rPr>
        <i/>
        <sz val="11"/>
        <color theme="1"/>
        <rFont val="Aptos Narrow"/>
        <family val="2"/>
        <scheme val="minor"/>
      </rPr>
      <t>kN</t>
    </r>
    <r>
      <rPr>
        <sz val="11"/>
        <color theme="1"/>
        <rFont val="Aptos Narrow"/>
        <family val="2"/>
        <scheme val="minor"/>
      </rPr>
      <t>)</t>
    </r>
  </si>
  <si>
    <t>Parámetros del caso - viga simplemente apoyada</t>
  </si>
  <si>
    <t>Parámetro</t>
  </si>
  <si>
    <t>Valor</t>
  </si>
  <si>
    <t>Unidad</t>
  </si>
  <si>
    <t>Descripción</t>
  </si>
  <si>
    <t>L</t>
  </si>
  <si>
    <t>b</t>
  </si>
  <si>
    <t>h</t>
  </si>
  <si>
    <t>E</t>
  </si>
  <si>
    <t>m</t>
  </si>
  <si>
    <t>GPa</t>
  </si>
  <si>
    <t>Luz entre apoyos</t>
  </si>
  <si>
    <t>Ancho de la sección</t>
  </si>
  <si>
    <t>Altura de la sección rectangular</t>
  </si>
  <si>
    <t>Módulo de elasticidad para el ejercicio</t>
  </si>
  <si>
    <t>Configuración</t>
  </si>
  <si>
    <t>Carga puntual centrada</t>
  </si>
  <si>
    <t>-</t>
  </si>
  <si>
    <t>Viga simplemente apoyada</t>
  </si>
  <si>
    <t>→</t>
  </si>
  <si>
    <t>I</t>
  </si>
  <si>
    <r>
      <t>m</t>
    </r>
    <r>
      <rPr>
        <vertAlign val="superscript"/>
        <sz val="11"/>
        <color theme="1"/>
        <rFont val="Aptos Narrow"/>
        <family val="2"/>
        <scheme val="minor"/>
      </rPr>
      <t>4</t>
    </r>
  </si>
  <si>
    <r>
      <t xml:space="preserve">Segundo momento de área de la sección rectangular </t>
    </r>
    <r>
      <rPr>
        <sz val="10.5"/>
        <color rgb="FF545251"/>
        <rFont val="Aptos Narrow"/>
        <family val="2"/>
        <charset val="1"/>
      </rPr>
      <t>→</t>
    </r>
    <r>
      <rPr>
        <sz val="10.5"/>
        <color rgb="FF545251"/>
        <rFont val="Arial"/>
        <family val="2"/>
      </rPr>
      <t xml:space="preserve">  </t>
    </r>
  </si>
  <si>
    <r>
      <t>Deflexión teórica (</t>
    </r>
    <r>
      <rPr>
        <i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>)</t>
    </r>
  </si>
  <si>
    <r>
      <t>Deflexión teórica (</t>
    </r>
    <r>
      <rPr>
        <i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)</t>
    </r>
  </si>
  <si>
    <r>
      <t>mm</t>
    </r>
    <r>
      <rPr>
        <vertAlign val="superscript"/>
        <sz val="11"/>
        <color theme="1"/>
        <rFont val="Aptos Narrow"/>
        <family val="2"/>
        <scheme val="minor"/>
      </rPr>
      <t>4</t>
    </r>
  </si>
  <si>
    <t>Pa</t>
  </si>
  <si>
    <r>
      <t>Carga (</t>
    </r>
    <r>
      <rPr>
        <i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</si>
  <si>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Deflexión medida (</t>
    </r>
    <r>
      <rPr>
        <i/>
        <sz val="11"/>
        <color theme="1"/>
        <rFont val="Aptos Narrow"/>
        <family val="2"/>
        <scheme val="minor"/>
      </rPr>
      <t>mm</t>
    </r>
    <r>
      <rPr>
        <sz val="11"/>
        <color theme="1"/>
        <rFont val="Aptos Narrow"/>
        <family val="2"/>
        <scheme val="minor"/>
      </rPr>
      <t>)</t>
    </r>
  </si>
  <si>
    <t>Dif. Relativa (%)</t>
  </si>
  <si>
    <t>Diferencia relativa: Evalúa qué tan parecidos son los valores que se midieron en la realidad respecto a los calculados con la fórmula teórica.</t>
  </si>
  <si>
    <t>Para los valores obtenidos de diferencia relativa, estos nos indica que la teoría de Euler-Bernoulli modela de forma casi exacta el comportamiento real de la viga, y que las pequeñas variaciones observadas corresponden únicamente a la incertidumbre experimental habitual</t>
  </si>
  <si>
    <r>
      <rPr>
        <sz val="11"/>
        <color theme="1"/>
        <rFont val="Aptos Narrow"/>
        <family val="2"/>
        <scheme val="minor"/>
      </rPr>
      <t>δ</t>
    </r>
    <r>
      <rPr>
        <sz val="9.35"/>
        <color theme="1"/>
        <rFont val="Aptos Narrow"/>
        <family val="2"/>
        <scheme val="minor"/>
      </rPr>
      <t>/P</t>
    </r>
  </si>
  <si>
    <t>Para comprobar que los valores obtenidos de forma teórica son correctos se realiza una verificación, viendo si la relación deflexion-cargas se mantiene en un rangolineal,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</si>
</sst>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69" formatCode="0.0"/>
  </numFmts>
  <fonts count="11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545251"/>
      <name val="Arial"/>
      <family val="2"/>
    </font>
    <font>
      <sz val="20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0.5"/>
      <color rgb="FF545251"/>
      <name val="Arial"/>
      <family val="2"/>
    </font>
    <font>
      <sz val="10.5"/>
      <color rgb="FF545251"/>
      <name val="Aptos Narrow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.3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8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Deflexión medida vs Deflexión</a:t>
            </a:r>
            <a:r>
              <a:rPr lang="es-CL" baseline="0"/>
              <a:t> teórica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analisis_viga!$E$11</c:f>
              <c:strCache>
                <c:ptCount val="1"/>
                <c:pt idx="0">
                  <c:v>Deflexión teórica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analisis_viga!$B$12:$B$20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analisis_viga!$E$12:$E$20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D4-4016-9E6C-A9D3B5BD5443}"/>
            </c:ext>
          </c:extLst>
        </c:ser>
        <c:ser>
          <c:idx val="1"/>
          <c:order val="1"/>
          <c:tx>
            <c:strRef>
              <c:f>analisis_viga!$F$11</c:f>
              <c:strCache>
                <c:ptCount val="1"/>
                <c:pt idx="0">
                  <c:v>Deflexión medida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analisis_viga!$B$12:$B$20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analisis_viga!$F$12:$F$20</c:f>
              <c:numCache>
                <c:formatCode>General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0.5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D4-4016-9E6C-A9D3B5BD5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58304"/>
        <c:axId val="2110082032"/>
      </c:scatterChart>
      <c:valAx>
        <c:axId val="20865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10082032"/>
        <c:crosses val="autoZero"/>
        <c:crossBetween val="midCat"/>
      </c:valAx>
      <c:valAx>
        <c:axId val="21100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>
                    <a:solidFill>
                      <a:sysClr val="windowText" lastClr="000000"/>
                    </a:solidFill>
                  </a:rPr>
                  <a:t>Deflexión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65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0</xdr:row>
      <xdr:rowOff>102870</xdr:rowOff>
    </xdr:from>
    <xdr:ext cx="521553" cy="4617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C00B513-9155-CE42-D004-73EFC0A6BAC3}"/>
                </a:ext>
              </a:extLst>
            </xdr:cNvPr>
            <xdr:cNvSpPr txBox="1"/>
          </xdr:nvSpPr>
          <xdr:spPr>
            <a:xfrm>
              <a:off x="4114800" y="102870"/>
              <a:ext cx="521553" cy="461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s-CL" sz="15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L" sz="15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CL" sz="15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es-CL" sz="15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L" sz="15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ℎ</m:t>
                            </m:r>
                          </m:e>
                          <m:sup>
                            <m:r>
                              <a:rPr lang="es-CL" sz="15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s-CL" sz="15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12</m:t>
                        </m:r>
                      </m:den>
                    </m:f>
                  </m:oMath>
                </m:oMathPara>
              </a14:m>
              <a:endParaRPr lang="es-CL" sz="15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C00B513-9155-CE42-D004-73EFC0A6BAC3}"/>
                </a:ext>
              </a:extLst>
            </xdr:cNvPr>
            <xdr:cNvSpPr txBox="1"/>
          </xdr:nvSpPr>
          <xdr:spPr>
            <a:xfrm>
              <a:off x="4114800" y="102870"/>
              <a:ext cx="521553" cy="4617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L" sz="15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s-CL" sz="15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𝑏∗ℎ^3)/12</a:t>
              </a:r>
              <a:endParaRPr lang="es-CL" sz="1500"/>
            </a:p>
          </xdr:txBody>
        </xdr:sp>
      </mc:Fallback>
    </mc:AlternateContent>
    <xdr:clientData/>
  </xdr:oneCellAnchor>
  <xdr:twoCellAnchor>
    <xdr:from>
      <xdr:col>2</xdr:col>
      <xdr:colOff>411480</xdr:colOff>
      <xdr:row>21</xdr:row>
      <xdr:rowOff>80010</xdr:rowOff>
    </xdr:from>
    <xdr:to>
      <xdr:col>6</xdr:col>
      <xdr:colOff>708660</xdr:colOff>
      <xdr:row>42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BF6D06F-5EEA-EAF2-8AA5-3D13C043E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4AFD-904F-4503-A5BF-BEAC31166E7B}">
  <dimension ref="B2:G9"/>
  <sheetViews>
    <sheetView workbookViewId="0">
      <selection activeCell="E20" sqref="E20"/>
    </sheetView>
  </sheetViews>
  <sheetFormatPr baseColWidth="10" defaultRowHeight="14.4" x14ac:dyDescent="0.3"/>
  <cols>
    <col min="2" max="2" width="13.77734375" customWidth="1"/>
    <col min="3" max="3" width="19.77734375" customWidth="1"/>
  </cols>
  <sheetData>
    <row r="2" spans="2:7" ht="15.6" x14ac:dyDescent="0.3">
      <c r="B2" s="4" t="s">
        <v>1</v>
      </c>
      <c r="C2" s="4"/>
      <c r="D2" s="4"/>
      <c r="E2" s="4"/>
      <c r="F2" s="4"/>
      <c r="G2" s="4"/>
    </row>
    <row r="3" spans="2:7" x14ac:dyDescent="0.3">
      <c r="B3" s="3"/>
      <c r="C3" s="3"/>
      <c r="D3" s="3"/>
      <c r="E3" s="3"/>
      <c r="F3" s="3"/>
      <c r="G3" s="3"/>
    </row>
    <row r="4" spans="2:7" x14ac:dyDescent="0.3">
      <c r="B4" t="s">
        <v>2</v>
      </c>
      <c r="C4" s="1" t="s">
        <v>3</v>
      </c>
      <c r="D4" t="s">
        <v>4</v>
      </c>
      <c r="E4" s="3" t="s">
        <v>5</v>
      </c>
      <c r="F4" s="3"/>
      <c r="G4" s="3"/>
    </row>
    <row r="5" spans="2:7" x14ac:dyDescent="0.3">
      <c r="B5" t="s">
        <v>6</v>
      </c>
      <c r="C5">
        <v>4</v>
      </c>
      <c r="D5" t="s">
        <v>10</v>
      </c>
      <c r="E5" s="2" t="s">
        <v>12</v>
      </c>
      <c r="F5" s="2"/>
    </row>
    <row r="6" spans="2:7" x14ac:dyDescent="0.3">
      <c r="B6" t="s">
        <v>7</v>
      </c>
      <c r="C6">
        <v>0.2</v>
      </c>
      <c r="D6" t="s">
        <v>10</v>
      </c>
      <c r="E6" s="2" t="s">
        <v>13</v>
      </c>
      <c r="F6" s="2"/>
    </row>
    <row r="7" spans="2:7" x14ac:dyDescent="0.3">
      <c r="B7" t="s">
        <v>8</v>
      </c>
      <c r="C7">
        <v>0.4</v>
      </c>
      <c r="D7" t="s">
        <v>10</v>
      </c>
      <c r="E7" s="2" t="s">
        <v>14</v>
      </c>
      <c r="F7" s="2"/>
      <c r="G7" s="2"/>
    </row>
    <row r="8" spans="2:7" x14ac:dyDescent="0.3">
      <c r="B8" t="s">
        <v>9</v>
      </c>
      <c r="C8">
        <v>25</v>
      </c>
      <c r="D8" t="s">
        <v>11</v>
      </c>
      <c r="E8" s="2" t="s">
        <v>15</v>
      </c>
      <c r="F8" s="2"/>
      <c r="G8" s="2"/>
    </row>
    <row r="9" spans="2:7" x14ac:dyDescent="0.3">
      <c r="B9" t="s">
        <v>16</v>
      </c>
      <c r="C9" t="s">
        <v>17</v>
      </c>
      <c r="D9" t="s">
        <v>18</v>
      </c>
      <c r="E9" s="2" t="s">
        <v>19</v>
      </c>
      <c r="F9" s="2"/>
    </row>
  </sheetData>
  <mergeCells count="8">
    <mergeCell ref="E9:F9"/>
    <mergeCell ref="E4:G4"/>
    <mergeCell ref="B3:G3"/>
    <mergeCell ref="B2:G2"/>
    <mergeCell ref="E6:F6"/>
    <mergeCell ref="E5:F5"/>
    <mergeCell ref="E7:G7"/>
    <mergeCell ref="E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EBFC-2183-4B85-BBEB-418A64E392A9}">
  <dimension ref="B2:N55"/>
  <sheetViews>
    <sheetView tabSelected="1" zoomScale="85" zoomScaleNormal="85" workbookViewId="0">
      <selection activeCell="H26" sqref="H26"/>
    </sheetView>
  </sheetViews>
  <sheetFormatPr baseColWidth="10" defaultRowHeight="14.4" x14ac:dyDescent="0.3"/>
  <cols>
    <col min="2" max="2" width="15" customWidth="1"/>
    <col min="3" max="5" width="18.77734375" customWidth="1"/>
    <col min="6" max="6" width="19.109375" customWidth="1"/>
    <col min="7" max="7" width="15.44140625" customWidth="1"/>
    <col min="8" max="8" width="13.44140625" customWidth="1"/>
    <col min="10" max="10" width="20.109375" customWidth="1"/>
    <col min="11" max="11" width="19.5546875" customWidth="1"/>
    <col min="12" max="12" width="13.21875" customWidth="1"/>
  </cols>
  <sheetData>
    <row r="2" spans="2:14" x14ac:dyDescent="0.3">
      <c r="B2" s="9" t="s">
        <v>23</v>
      </c>
      <c r="C2" s="9"/>
      <c r="D2" s="9"/>
      <c r="E2" s="9"/>
      <c r="F2" s="8"/>
    </row>
    <row r="5" spans="2:14" ht="16.2" customHeight="1" x14ac:dyDescent="0.3">
      <c r="B5" s="1" t="s">
        <v>7</v>
      </c>
      <c r="C5">
        <v>0.2</v>
      </c>
      <c r="D5" t="s">
        <v>10</v>
      </c>
      <c r="E5" s="6" t="s">
        <v>20</v>
      </c>
      <c r="F5" s="1" t="s">
        <v>21</v>
      </c>
      <c r="G5" s="5">
        <f>(C5*C6^3)/12</f>
        <v>1.0666666666666669E-3</v>
      </c>
      <c r="H5" t="s">
        <v>22</v>
      </c>
      <c r="I5" s="6" t="s">
        <v>20</v>
      </c>
      <c r="J5" s="10">
        <f>G5*(1000^4)</f>
        <v>1066666666.666667</v>
      </c>
      <c r="K5" t="s">
        <v>26</v>
      </c>
    </row>
    <row r="6" spans="2:14" x14ac:dyDescent="0.3">
      <c r="B6" s="1" t="s">
        <v>8</v>
      </c>
      <c r="C6">
        <v>0.4</v>
      </c>
      <c r="D6" t="s">
        <v>10</v>
      </c>
      <c r="E6" s="7"/>
    </row>
    <row r="7" spans="2:14" x14ac:dyDescent="0.3">
      <c r="B7" s="1" t="s">
        <v>6</v>
      </c>
      <c r="C7">
        <v>4</v>
      </c>
      <c r="D7" t="s">
        <v>10</v>
      </c>
    </row>
    <row r="8" spans="2:14" ht="16.2" customHeight="1" x14ac:dyDescent="0.3">
      <c r="B8" s="1" t="s">
        <v>9</v>
      </c>
      <c r="C8">
        <v>25</v>
      </c>
      <c r="D8" t="s">
        <v>11</v>
      </c>
      <c r="E8" s="6" t="s">
        <v>20</v>
      </c>
      <c r="F8">
        <f>C8*(10^9)</f>
        <v>25000000000</v>
      </c>
      <c r="G8" t="s">
        <v>27</v>
      </c>
    </row>
    <row r="10" spans="2:14" ht="15" thickBot="1" x14ac:dyDescent="0.35"/>
    <row r="11" spans="2:14" x14ac:dyDescent="0.3">
      <c r="B11" s="1" t="s">
        <v>0</v>
      </c>
      <c r="C11" s="1" t="s">
        <v>28</v>
      </c>
      <c r="D11" s="1" t="s">
        <v>25</v>
      </c>
      <c r="E11" s="1" t="s">
        <v>24</v>
      </c>
      <c r="F11" s="1" t="s">
        <v>29</v>
      </c>
      <c r="G11" s="1" t="s">
        <v>30</v>
      </c>
      <c r="I11" s="32" t="s">
        <v>33</v>
      </c>
      <c r="K11" s="14" t="s">
        <v>31</v>
      </c>
      <c r="L11" s="15"/>
      <c r="M11" s="15"/>
      <c r="N11" s="16"/>
    </row>
    <row r="12" spans="2:14" ht="14.4" customHeight="1" x14ac:dyDescent="0.3">
      <c r="B12" s="1">
        <v>0</v>
      </c>
      <c r="C12" s="1">
        <f>B12*1000</f>
        <v>0</v>
      </c>
      <c r="D12" s="1">
        <f>(C12*$C$7)/(48*$F$8*$G$5)</f>
        <v>0</v>
      </c>
      <c r="E12" s="1">
        <f>D12*1000</f>
        <v>0</v>
      </c>
      <c r="F12" s="1">
        <v>0</v>
      </c>
      <c r="G12" s="1">
        <v>0</v>
      </c>
      <c r="I12" s="1" t="s">
        <v>18</v>
      </c>
      <c r="K12" s="17"/>
      <c r="L12" s="18"/>
      <c r="M12" s="18"/>
      <c r="N12" s="19"/>
    </row>
    <row r="13" spans="2:14" ht="15" thickBot="1" x14ac:dyDescent="0.35">
      <c r="B13" s="1">
        <v>5</v>
      </c>
      <c r="C13" s="1">
        <f t="shared" ref="C13:C20" si="0">B13*1000</f>
        <v>5000</v>
      </c>
      <c r="D13" s="1">
        <f>(C13*($C$7^3))/(48*$F$8*$G$5)</f>
        <v>2.4999999999999995E-4</v>
      </c>
      <c r="E13" s="1">
        <f t="shared" ref="E13:E20" si="1">D13*1000</f>
        <v>0.24999999999999994</v>
      </c>
      <c r="F13" s="1">
        <v>0.26</v>
      </c>
      <c r="G13" s="1">
        <f>ABS((F13-E13)/E13)*100</f>
        <v>4.0000000000000266</v>
      </c>
      <c r="I13" s="1">
        <f>E13/B13</f>
        <v>4.9999999999999989E-2</v>
      </c>
      <c r="K13" s="20"/>
      <c r="L13" s="21"/>
      <c r="M13" s="21"/>
      <c r="N13" s="22"/>
    </row>
    <row r="14" spans="2:14" ht="15" thickBot="1" x14ac:dyDescent="0.35">
      <c r="B14" s="1">
        <v>10</v>
      </c>
      <c r="C14" s="1">
        <f t="shared" si="0"/>
        <v>10000</v>
      </c>
      <c r="D14" s="1">
        <f>(C14*($C$7^3))/(48*$F$8*$G$5)</f>
        <v>4.999999999999999E-4</v>
      </c>
      <c r="E14" s="1">
        <f t="shared" si="1"/>
        <v>0.49999999999999989</v>
      </c>
      <c r="F14" s="1">
        <v>0.5</v>
      </c>
      <c r="G14" s="1">
        <v>0</v>
      </c>
      <c r="I14" s="1">
        <f>E14/B14</f>
        <v>4.9999999999999989E-2</v>
      </c>
    </row>
    <row r="15" spans="2:14" x14ac:dyDescent="0.3">
      <c r="B15" s="1">
        <v>15</v>
      </c>
      <c r="C15" s="1">
        <f t="shared" si="0"/>
        <v>15000</v>
      </c>
      <c r="D15" s="1">
        <f t="shared" ref="D14:D20" si="2">(C15*($C$7^3))/(48*$F$8*$G$5)</f>
        <v>7.4999999999999991E-4</v>
      </c>
      <c r="E15" s="1">
        <f t="shared" si="1"/>
        <v>0.74999999999999989</v>
      </c>
      <c r="F15" s="1">
        <v>0.5</v>
      </c>
      <c r="G15" s="11">
        <f>ABS((F15-E15)/E15)*100</f>
        <v>33.333333333333329</v>
      </c>
      <c r="I15" s="12">
        <f>E15/B15</f>
        <v>4.9999999999999996E-2</v>
      </c>
      <c r="J15" s="13"/>
      <c r="K15" s="23" t="s">
        <v>32</v>
      </c>
      <c r="L15" s="24"/>
      <c r="M15" s="24"/>
      <c r="N15" s="25"/>
    </row>
    <row r="16" spans="2:14" x14ac:dyDescent="0.3">
      <c r="B16" s="1">
        <v>20</v>
      </c>
      <c r="C16" s="1">
        <f t="shared" si="0"/>
        <v>20000</v>
      </c>
      <c r="D16" s="1">
        <f t="shared" si="2"/>
        <v>9.999999999999998E-4</v>
      </c>
      <c r="E16" s="1">
        <f t="shared" si="1"/>
        <v>0.99999999999999978</v>
      </c>
      <c r="F16" s="1">
        <v>1.01</v>
      </c>
      <c r="G16" s="1">
        <f>ABS((F16-E16)/E16)*100</f>
        <v>1.0000000000000233</v>
      </c>
      <c r="I16" s="1">
        <f>E16/B16</f>
        <v>4.9999999999999989E-2</v>
      </c>
      <c r="K16" s="26"/>
      <c r="L16" s="27"/>
      <c r="M16" s="27"/>
      <c r="N16" s="28"/>
    </row>
    <row r="17" spans="2:14" ht="14.4" customHeight="1" x14ac:dyDescent="0.3">
      <c r="B17" s="1">
        <v>25</v>
      </c>
      <c r="C17" s="1">
        <f t="shared" si="0"/>
        <v>25000</v>
      </c>
      <c r="D17" s="1">
        <f t="shared" si="2"/>
        <v>1.2499999999999998E-3</v>
      </c>
      <c r="E17" s="1">
        <f t="shared" si="1"/>
        <v>1.2499999999999998</v>
      </c>
      <c r="F17" s="1">
        <v>1.28</v>
      </c>
      <c r="G17" s="1">
        <f>ABS((F17-E17)/E17)*100</f>
        <v>2.4000000000000203</v>
      </c>
      <c r="I17" s="1">
        <f>E17/B17</f>
        <v>4.9999999999999989E-2</v>
      </c>
      <c r="K17" s="26"/>
      <c r="L17" s="27"/>
      <c r="M17" s="27"/>
      <c r="N17" s="28"/>
    </row>
    <row r="18" spans="2:14" x14ac:dyDescent="0.3">
      <c r="B18" s="1">
        <v>30</v>
      </c>
      <c r="C18" s="1">
        <f t="shared" si="0"/>
        <v>30000</v>
      </c>
      <c r="D18" s="1">
        <f t="shared" si="2"/>
        <v>1.4999999999999998E-3</v>
      </c>
      <c r="E18" s="1">
        <f t="shared" si="1"/>
        <v>1.4999999999999998</v>
      </c>
      <c r="F18" s="1">
        <v>1.54</v>
      </c>
      <c r="G18" s="11">
        <f>ABS((F18-E18)/E18)*100</f>
        <v>2.6666666666666843</v>
      </c>
      <c r="I18" s="1">
        <f>E18/B18</f>
        <v>4.9999999999999996E-2</v>
      </c>
      <c r="K18" s="26"/>
      <c r="L18" s="27"/>
      <c r="M18" s="27"/>
      <c r="N18" s="28"/>
    </row>
    <row r="19" spans="2:14" ht="15" thickBot="1" x14ac:dyDescent="0.35">
      <c r="B19" s="1">
        <v>35</v>
      </c>
      <c r="C19" s="1">
        <f t="shared" si="0"/>
        <v>35000</v>
      </c>
      <c r="D19" s="1">
        <f t="shared" si="2"/>
        <v>1.7499999999999996E-3</v>
      </c>
      <c r="E19" s="1">
        <f t="shared" si="1"/>
        <v>1.7499999999999996</v>
      </c>
      <c r="F19" s="1">
        <v>1.77</v>
      </c>
      <c r="G19" s="11">
        <f>ABS((F19-E19)/E19)*100</f>
        <v>1.1428571428571697</v>
      </c>
      <c r="I19" s="1">
        <f>E19/B19</f>
        <v>4.9999999999999989E-2</v>
      </c>
      <c r="K19" s="29"/>
      <c r="L19" s="30"/>
      <c r="M19" s="30"/>
      <c r="N19" s="31"/>
    </row>
    <row r="20" spans="2:14" ht="15" thickBot="1" x14ac:dyDescent="0.35">
      <c r="B20" s="1">
        <v>40</v>
      </c>
      <c r="C20" s="1">
        <f t="shared" si="0"/>
        <v>40000</v>
      </c>
      <c r="D20" s="1">
        <f t="shared" si="2"/>
        <v>1.9999999999999996E-3</v>
      </c>
      <c r="E20" s="1">
        <f t="shared" si="1"/>
        <v>1.9999999999999996</v>
      </c>
      <c r="F20" s="1">
        <v>2.0499999999999998</v>
      </c>
      <c r="G20" s="1">
        <f>ABS((F20-E20)/E20)*100</f>
        <v>2.5000000000000142</v>
      </c>
      <c r="I20" s="1">
        <f>E20/B20</f>
        <v>4.9999999999999989E-2</v>
      </c>
    </row>
    <row r="21" spans="2:14" x14ac:dyDescent="0.3">
      <c r="K21" s="14" t="s">
        <v>34</v>
      </c>
      <c r="L21" s="15"/>
      <c r="M21" s="15"/>
      <c r="N21" s="16"/>
    </row>
    <row r="22" spans="2:14" x14ac:dyDescent="0.3">
      <c r="K22" s="17"/>
      <c r="L22" s="18"/>
      <c r="M22" s="18"/>
      <c r="N22" s="19"/>
    </row>
    <row r="23" spans="2:14" x14ac:dyDescent="0.3">
      <c r="K23" s="17"/>
      <c r="L23" s="18"/>
      <c r="M23" s="18"/>
      <c r="N23" s="19"/>
    </row>
    <row r="24" spans="2:14" ht="15" thickBot="1" x14ac:dyDescent="0.35">
      <c r="B24" s="1"/>
      <c r="C24" s="1"/>
      <c r="I24" s="1"/>
      <c r="J24" s="1"/>
      <c r="K24" s="20"/>
      <c r="L24" s="21"/>
      <c r="M24" s="21"/>
      <c r="N24" s="22"/>
    </row>
    <row r="25" spans="2:14" x14ac:dyDescent="0.3">
      <c r="B25" s="1"/>
      <c r="C25" s="1"/>
    </row>
    <row r="26" spans="2:14" x14ac:dyDescent="0.3">
      <c r="B26" s="1"/>
      <c r="C26" s="1"/>
    </row>
    <row r="27" spans="2:14" x14ac:dyDescent="0.3">
      <c r="B27" s="1"/>
      <c r="C27" s="1"/>
    </row>
    <row r="28" spans="2:14" x14ac:dyDescent="0.3">
      <c r="B28" s="1"/>
      <c r="C28" s="1"/>
      <c r="I28" s="1"/>
      <c r="J28" s="1"/>
      <c r="K28" s="1"/>
    </row>
    <row r="29" spans="2:14" x14ac:dyDescent="0.3">
      <c r="B29" s="1"/>
      <c r="C29" s="1"/>
      <c r="I29" s="1"/>
      <c r="J29" s="1"/>
      <c r="K29" s="1"/>
    </row>
    <row r="30" spans="2:14" x14ac:dyDescent="0.3">
      <c r="B30" s="1"/>
      <c r="C30" s="1"/>
    </row>
    <row r="31" spans="2:14" x14ac:dyDescent="0.3">
      <c r="B31" s="1"/>
      <c r="C31" s="1"/>
    </row>
    <row r="32" spans="2:14" x14ac:dyDescent="0.3">
      <c r="B32" s="1"/>
      <c r="C32" s="1"/>
    </row>
    <row r="33" spans="2:5" x14ac:dyDescent="0.3">
      <c r="B33" s="1"/>
      <c r="C33" s="1"/>
    </row>
    <row r="35" spans="2:5" x14ac:dyDescent="0.3">
      <c r="B35" s="1"/>
      <c r="C35" s="1"/>
    </row>
    <row r="36" spans="2:5" x14ac:dyDescent="0.3">
      <c r="B36" s="1"/>
      <c r="C36" s="1"/>
    </row>
    <row r="37" spans="2:5" x14ac:dyDescent="0.3">
      <c r="B37" s="1"/>
      <c r="C37" s="1"/>
    </row>
    <row r="38" spans="2:5" x14ac:dyDescent="0.3">
      <c r="B38" s="1"/>
      <c r="C38" s="1"/>
    </row>
    <row r="39" spans="2:5" x14ac:dyDescent="0.3">
      <c r="B39" s="1"/>
      <c r="C39" s="1"/>
    </row>
    <row r="40" spans="2:5" x14ac:dyDescent="0.3">
      <c r="B40" s="1"/>
      <c r="C40" s="1"/>
    </row>
    <row r="41" spans="2:5" x14ac:dyDescent="0.3">
      <c r="B41" s="1"/>
      <c r="C41" s="1"/>
    </row>
    <row r="42" spans="2:5" x14ac:dyDescent="0.3">
      <c r="B42" s="1"/>
      <c r="C42" s="1"/>
    </row>
    <row r="43" spans="2:5" x14ac:dyDescent="0.3">
      <c r="B43" s="1"/>
      <c r="C43" s="1"/>
    </row>
    <row r="44" spans="2:5" x14ac:dyDescent="0.3">
      <c r="B44" s="1"/>
      <c r="C44" s="1"/>
    </row>
    <row r="46" spans="2:5" x14ac:dyDescent="0.3">
      <c r="C46" s="1"/>
      <c r="D46" s="1"/>
      <c r="E46" s="1"/>
    </row>
    <row r="47" spans="2:5" x14ac:dyDescent="0.3">
      <c r="C47" s="1"/>
      <c r="D47" s="1"/>
      <c r="E47" s="1"/>
    </row>
    <row r="48" spans="2:5" x14ac:dyDescent="0.3">
      <c r="C48" s="1"/>
      <c r="D48" s="1"/>
      <c r="E48" s="1"/>
    </row>
    <row r="49" spans="3:5" x14ac:dyDescent="0.3">
      <c r="C49" s="1"/>
      <c r="D49" s="1"/>
      <c r="E49" s="1"/>
    </row>
    <row r="50" spans="3:5" x14ac:dyDescent="0.3">
      <c r="C50" s="1"/>
      <c r="D50" s="1"/>
      <c r="E50" s="1"/>
    </row>
    <row r="51" spans="3:5" x14ac:dyDescent="0.3">
      <c r="C51" s="1"/>
      <c r="D51" s="1"/>
      <c r="E51" s="1"/>
    </row>
    <row r="52" spans="3:5" x14ac:dyDescent="0.3">
      <c r="C52" s="1"/>
      <c r="D52" s="1"/>
      <c r="E52" s="1"/>
    </row>
    <row r="53" spans="3:5" x14ac:dyDescent="0.3">
      <c r="C53" s="1"/>
      <c r="D53" s="1"/>
      <c r="E53" s="1"/>
    </row>
    <row r="54" spans="3:5" x14ac:dyDescent="0.3">
      <c r="C54" s="1"/>
      <c r="D54" s="1"/>
      <c r="E54" s="1"/>
    </row>
    <row r="55" spans="3:5" x14ac:dyDescent="0.3">
      <c r="C55" s="1"/>
      <c r="D55" s="1"/>
      <c r="E55" s="1"/>
    </row>
  </sheetData>
  <mergeCells count="4">
    <mergeCell ref="K15:N19"/>
    <mergeCell ref="K21:N24"/>
    <mergeCell ref="B2:E2"/>
    <mergeCell ref="K11:N13"/>
  </mergeCells>
  <pageMargins left="0.7" right="0.7" top="0.75" bottom="0.75" header="0.3" footer="0.3"/>
  <ignoredErrors>
    <ignoredError sqref="D12:D20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Parametros_viga</vt:lpstr>
      <vt:lpstr>analisis_viga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Vargas</dc:creator>
  <cp:lastModifiedBy>Florencia Vargas</cp:lastModifiedBy>
  <dcterms:created xsi:type="dcterms:W3CDTF">2026-09-30T17:23:18Z</dcterms:created>
  <dcterms:modified xsi:type="dcterms:W3CDTF">2026-10-02T22:51:14Z</dcterms:modified>
</cp:coreProperties>
</file>